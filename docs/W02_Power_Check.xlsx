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ca4404d1d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Check" sheetId="1" r:id="R67bd8c22017b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F2"/>
      </x:patternFill>
    </x:fill>
    <x:fill>
      <x:patternFill patternType="solid">
        <x:fgColor rgb="FFEAF3E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200" fontId="0" fillId="0" borderId="1" xfId="0" applyNumberFormat="1" applyFont="1" applyFill="1" applyBorder="1"/>
    <x:xf numFmtId="200" fontId="2" fillId="4" borderId="1" xfId="0" applyNumberFormat="1" applyFont="1" applyFill="1" applyBorder="1"/>
    <x:xf numFmtId="201" fontId="0" fillId="0" borderId="0" xfId="0" applyNumberFormat="1" applyFont="1" applyFill="1" applyBorder="1"/>
    <x:xf numFmtId="201" fontId="2" fillId="4" borderId="0" xfId="0" applyNumberFormat="1" applyFont="1" applyFill="1" applyBorder="1"/>
    <x:xf numFmtId="201" fontId="0" fillId="0" borderId="1" xfId="0" applyNumberFormat="1" applyFont="1" applyFill="1" applyBorder="1"/>
    <x:xf numFmtId="201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0a05633004827" /><Relationship Type="http://schemas.openxmlformats.org/officeDocument/2006/relationships/theme" Target="/xl/theme/theme1.xml" Id="R6a21e17cf56e4e21" /><Relationship Type="http://schemas.openxmlformats.org/officeDocument/2006/relationships/sharedStrings" Target="/xl/sharedStrings.xml" Id="Ra80cff3f4c9e4fdc" /><Relationship Type="http://schemas.openxmlformats.org/officeDocument/2006/relationships/worksheet" Target="/xl/worksheets/sheet1.xml" Id="R67bd8c22017b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 ht="32" customHeight="1">
      <x:c r="A1" s="3" t="str">
        <x:v>W02 | Fleet Predictive Maintenance — Sample Size &amp; Class Balance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3" ht="28" customHeight="1">
      <x:c r="A3" s="7" t="str">
        <x:v>Split</x:v>
      </x:c>
      <x:c r="B3" s="7" t="str">
        <x:v>Robot-days</x:v>
      </x:c>
      <x:c r="C3" s="7" t="str">
        <x:v>Positive</x:v>
      </x:c>
      <x:c r="D3" s="7" t="str">
        <x:v>Negative</x:v>
      </x:c>
      <x:c r="E3" s="7" t="str">
        <x:v>Positive rate</x:v>
      </x:c>
      <x:c r="F3" s="7" t="str">
        <x:v>Negative : positive</x:v>
      </x:c>
      <x:c r="G3" s="7" t="str">
        <x:v>Approx. 95% CI half-width</x:v>
      </x:c>
      <x:c r="H3" s="7" t="str">
        <x:v>Notes</x:v>
      </x:c>
    </x:row>
    <x:row r="4">
      <x:c r="A4" t="str">
        <x:v>Train</x:v>
      </x:c>
      <x:c r="B4" t="n">
        <x:v>15104</x:v>
      </x:c>
      <x:c r="C4" t="n">
        <x:v>700</x:v>
      </x:c>
      <x:c r="D4" t="n">
        <x:f>B4-C4</x:f>
        <x:v>14404</x:v>
      </x:c>
      <x:c r="E4" s="14" t="n">
        <x:f>C4/B4</x:f>
        <x:v>0.04634533898305085</x:v>
      </x:c>
      <x:c r="F4" s="18" t="n">
        <x:f>D4/C4</x:f>
        <x:v>20.577142857142857</x:v>
      </x:c>
      <x:c r="G4" s="14" t="n">
        <x:f>1.96*SQRT(E4*(1-E4)/B4)</x:f>
        <x:v>0.0033528079861243005</x:v>
      </x:c>
      <x:c r="H4" t="str">
        <x:v>Chronological split; descriptive counts</x:v>
      </x:c>
    </x:row>
    <x:row r="5">
      <x:c r="A5" t="str">
        <x:v>Validation</x:v>
      </x:c>
      <x:c r="B5" t="n">
        <x:v>5609</x:v>
      </x:c>
      <x:c r="C5" t="n">
        <x:v>314</x:v>
      </x:c>
      <x:c r="D5" t="n">
        <x:f>B5-C5</x:f>
        <x:v>5295</x:v>
      </x:c>
      <x:c r="E5" s="14" t="n">
        <x:f>C5/B5</x:f>
        <x:v>0.05598145837047602</x:v>
      </x:c>
      <x:c r="F5" s="18" t="n">
        <x:f>D5/C5</x:f>
        <x:v>16.863057324840764</x:v>
      </x:c>
      <x:c r="G5" s="14" t="n">
        <x:f>1.96*SQRT(E5*(1-E5)/B5)</x:f>
        <x:v>0.006016247823915281</x:v>
      </x:c>
      <x:c r="H5" t="str">
        <x:v>Chronological split; descriptive counts</x:v>
      </x:c>
    </x:row>
    <x:row r="6">
      <x:c r="A6" t="str">
        <x:v>Test</x:v>
      </x:c>
      <x:c r="B6" t="n">
        <x:v>5422</x:v>
      </x:c>
      <x:c r="C6" t="n">
        <x:v>217</x:v>
      </x:c>
      <x:c r="D6" t="n">
        <x:f>B6-C6</x:f>
        <x:v>5205</x:v>
      </x:c>
      <x:c r="E6" s="14" t="n">
        <x:f>C6/B6</x:f>
        <x:v>0.0400221320545924</x:v>
      </x:c>
      <x:c r="F6" s="18" t="n">
        <x:f>D6/C6</x:f>
        <x:v>23.986175115207374</x:v>
      </x:c>
      <x:c r="G6" s="14" t="n">
        <x:f>1.96*SQRT(E6*(1-E6)/B6)</x:f>
        <x:v>0.005217434857113161</x:v>
      </x:c>
      <x:c r="H6" t="str">
        <x:v>Chronological split; descriptive counts</x:v>
      </x:c>
    </x:row>
    <x:row r="7" ht="26" customHeight="1">
      <x:c r="A7" s="11" t="str">
        <x:v>Total</x:v>
      </x:c>
      <x:c r="B7" s="11" t="n">
        <x:f>SUM(B4:B6)</x:f>
        <x:v>26135</x:v>
      </x:c>
      <x:c r="C7" s="11" t="n">
        <x:f>SUM(C4:C6)</x:f>
        <x:v>1231</x:v>
      </x:c>
      <x:c r="D7" s="11" t="n">
        <x:f>SUM(D4:D6)</x:f>
        <x:v>24904</x:v>
      </x:c>
      <x:c r="E7" s="15" t="n">
        <x:f>C7/B7</x:f>
        <x:v>0.04710158790893438</x:v>
      </x:c>
      <x:c r="F7" s="19" t="n">
        <x:f>D7/C7</x:f>
        <x:v>20.230706742485783</x:v>
      </x:c>
      <x:c r="G7" s="15" t="n">
        <x:f>1.96*SQRT(E7*(1-E7)/B7)</x:f>
        <x:v>0.0025685374072175037</x:v>
      </x:c>
      <x:c r="H7" s="11" t="str">
        <x:v>All eligible robot-days</x:v>
      </x:c>
    </x:row>
    <x:row r="10" ht="25" customHeight="1">
      <x:c r="A10" s="3" t="str">
        <x:v>Interpretation &amp; limitations</x:v>
      </x:c>
      <x:c r="B10" s="3" t="str"/>
      <x:c r="C10" s="3" t="str"/>
      <x:c r="D10" s="3" t="str"/>
      <x:c r="E10" s="3" t="str"/>
      <x:c r="F10" s="3" t="str"/>
      <x:c r="G10" s="3" t="str"/>
      <x:c r="H10" s="3" t="str"/>
    </x:row>
    <x:row r="11" ht="25" customHeight="1">
      <x:c r="A11" t="str">
        <x:v>Label: severe_fault_next_7d = 1 for a severity &gt;= 3 fault within [T, T+7 days).</x:v>
      </x:c>
    </x:row>
    <x:row r="12" ht="25" customHeight="1">
      <x:c r="A12" t="str">
        <x:v>Prediction timestamp: 00:00 UTC. Robot-days under maintenance at that instant are excluded.</x:v>
      </x:c>
    </x:row>
    <x:row r="13" ht="25" customHeight="1">
      <x:c r="A13" t="str">
        <x:v>Positive counts are based on previously completed W02 QA (train 700, validation 314, test 217).</x:v>
      </x:c>
    </x:row>
    <x:row r="14" ht="25" customHeight="1">
      <x:c r="A14" t="str">
        <x:v>The user verified Parquet shape (26,135 rows, 5 columns) and split counts; recheck positives locally before submission.</x:v>
      </x:c>
    </x:row>
    <x:row r="15" ht="25" customHeight="1">
      <x:c r="A15" t="str">
        <x:v>Approximate CI is a naive binomial reference only: robot-days are correlated within robot and overlapping label horizons.</x:v>
      </x:c>
    </x:row>
    <x:row r="16" ht="25" customHeight="1">
      <x:c r="A16" t="str">
        <x:v>This is a descriptive sample-size / event-count check, NOT a formal statistical power analysis.</x:v>
      </x:c>
    </x:row>
    <x:row r="17" ht="25" customHeight="1">
      <x:c r="A17" t="str">
        <x:v>For model evaluation, prioritize PR-AUC, precision, recall and confidence intervals; avoid accuracy alone.</x:v>
      </x:c>
    </x:row>
    <x:row r="18" ht="25" customHeight="1">
      <x:c r="A18" t="str">
        <x:v>Hold out test data for final evaluation; tune models and thresholds on train/validation only.</x:v>
      </x:c>
    </x:row>
    <x:row r="20">
      <x:c r="A20" t="str">
        <x:v>Source: W02_robot_day_modeling_frame.csv / data/modelling_frame.parquet; W02 QA counts</x:v>
      </x:c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20:H20"/>
  </x:mergeCells>
  <x:pageMargins left="0.7" right="0.7" top="0.75" bottom="0.75" header="0.3" footer="0.3"/>
</x:worksheet>
</file>